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E:\Coding\CB AI PM Cohort\Capstone\Capstone 2 AtliQ Contract Risk Analyzer\Working\"/>
    </mc:Choice>
  </mc:AlternateContent>
  <xr:revisionPtr revIDLastSave="0" documentId="13_ncr:1_{A236D639-92BA-42FD-96BA-A61C636ADC6D}" xr6:coauthVersionLast="47" xr6:coauthVersionMax="47" xr10:uidLastSave="{00000000-0000-0000-0000-000000000000}"/>
  <bookViews>
    <workbookView xWindow="-108" yWindow="-108" windowWidth="30936" windowHeight="16896" xr2:uid="{00000000-000D-0000-FFFF-FFFF00000000}"/>
  </bookViews>
  <sheets>
    <sheet name="Read me" sheetId="1" r:id="rId1"/>
    <sheet name="Inference" sheetId="2" r:id="rId2"/>
    <sheet name="Scenarios" sheetId="3" r:id="rId3"/>
    <sheet name="Embeddings" sheetId="4" r:id="rId4"/>
    <sheet name="Cost Saving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 l="1"/>
  <c r="B15" i="5"/>
  <c r="B10" i="5"/>
  <c r="B23" i="5" s="1"/>
  <c r="B24" i="5" s="1"/>
  <c r="B7" i="4"/>
  <c r="B5" i="4"/>
  <c r="B12" i="3"/>
  <c r="D11" i="3"/>
  <c r="D12" i="3" s="1"/>
  <c r="C11" i="3"/>
  <c r="B11" i="3"/>
  <c r="C10" i="3"/>
  <c r="C12" i="3" s="1"/>
  <c r="D8" i="3"/>
  <c r="D6" i="3"/>
  <c r="B6" i="3"/>
  <c r="B8" i="3" s="1"/>
  <c r="C5" i="3"/>
  <c r="C6" i="3" s="1"/>
  <c r="B21" i="2"/>
  <c r="B13" i="4" s="1"/>
  <c r="B14" i="4" s="1"/>
  <c r="B15" i="4" s="1"/>
  <c r="B27" i="5" s="1"/>
  <c r="F17" i="2"/>
  <c r="B17" i="2"/>
  <c r="I8" i="2" s="1"/>
  <c r="G14" i="2"/>
  <c r="F14" i="2"/>
  <c r="F15" i="2" s="1"/>
  <c r="B32" i="5" s="1"/>
  <c r="B11" i="2"/>
  <c r="D7" i="3" s="1"/>
  <c r="B8" i="2"/>
  <c r="B12" i="2" s="1"/>
  <c r="B13" i="2" s="1"/>
  <c r="D9" i="3" l="1"/>
  <c r="B12" i="5"/>
  <c r="B7" i="3"/>
  <c r="C7" i="3"/>
  <c r="B8" i="4"/>
  <c r="B10" i="4" s="1"/>
  <c r="B16" i="4" s="1"/>
  <c r="D13" i="3"/>
  <c r="B18" i="2"/>
  <c r="H8" i="2"/>
  <c r="J8" i="2" s="1"/>
  <c r="K8" i="2" s="1"/>
  <c r="H7" i="2"/>
  <c r="H6" i="2"/>
  <c r="C8" i="3"/>
  <c r="C9" i="3" s="1"/>
  <c r="C13" i="3" s="1"/>
  <c r="C14" i="3" s="1"/>
  <c r="I6" i="2"/>
  <c r="I7" i="2"/>
  <c r="B9" i="3"/>
  <c r="B13" i="3" s="1"/>
  <c r="B14" i="3" s="1"/>
  <c r="J7" i="2" l="1"/>
  <c r="K7" i="2" s="1"/>
  <c r="J6" i="2"/>
  <c r="K6" i="2" s="1"/>
  <c r="B26" i="5" s="1"/>
  <c r="B28" i="5" s="1"/>
  <c r="B29" i="5" s="1"/>
  <c r="D14" i="3"/>
  <c r="A17" i="3" s="1"/>
  <c r="B31" i="5" l="1"/>
  <c r="B30" i="5"/>
</calcChain>
</file>

<file path=xl/sharedStrings.xml><?xml version="1.0" encoding="utf-8"?>
<sst xmlns="http://schemas.openxmlformats.org/spreadsheetml/2006/main" count="191" uniqueCount="180">
  <si>
    <t>Capstone: Cost Estimation for the AtliQ Contract Risk Analyzer</t>
  </si>
  <si>
    <t>Cost estimation: tokens, inference cost, embedding cost and the cost-benefit against today's process, worked per contract review rather than per chatbot query.</t>
  </si>
  <si>
    <t>How to read</t>
  </si>
  <si>
    <t>Blue text on yellow = an input you can change. Black = a formula. Green = a value pulled from another tab. Every input has its source or its assumption written beside it.</t>
  </si>
  <si>
    <t>Unit of work</t>
  </si>
  <si>
    <t>One REVIEW of one contract. A chatbot is priced per query; this product is priced per contract reviewed. Revisions (a redline coming back) count as a new review.</t>
  </si>
  <si>
    <t>Token rule</t>
  </si>
  <si>
    <t>Tokens = words x 1.3, the usual rule of thumb. Word counts below are measured on the capstone dataset (wc on the 15 incoming and 17 signed contracts).</t>
  </si>
  <si>
    <t>Prices</t>
  </si>
  <si>
    <t>Anthropic list prices per 1M tokens as published on platform.claude.com/docs/en/about-claude/pricing (reference copy dated 25 Sep 2026). Verify on the page before presenting; prices change. No model is chosen in the PRD; three are priced side by side, as the master sheet did.</t>
  </si>
  <si>
    <t>What this sheet covers</t>
  </si>
  <si>
    <t>Model inference (input + output tokens), embeddings for precedent retrieval, the one-time register build, and the cost-benefit against today's cost. Low, median and high, never a single number.</t>
  </si>
  <si>
    <t>What this sheet does NOT cover</t>
  </si>
  <si>
    <t>Hosting (free tier for the prototype), vector database, observability, engineering and support time, and the cost of the shadow pilot itself. Adding these compresses the saving but does not change its shape.</t>
  </si>
  <si>
    <t>Dataset facts used</t>
  </si>
  <si>
    <t>15 incoming contracts: 26,362 words total, 1,757 average, 627 min (Daniel Ortiz NDA), 3,416 max (Harrington MSA). 17 signed contracts: 23,180 words total. Negotiation notes 1,092 words. Entity sheet 288 words. Checklist 377 words.</t>
  </si>
  <si>
    <t>Baselines used</t>
  </si>
  <si>
    <t>~9 contracts a month (3 to 4 contracts plus 4 to 5 NDAs) and ~3 hours per review (office hours with the client); real contracts assumed 10 to 15 pages. The figure of 9 was confirmed in the office hours; every cost here is per review, so the sheet scales to higher volumes by changing one cell. Counsel fee per complex review from the counsel call in the dataset.</t>
  </si>
  <si>
    <t>Links</t>
  </si>
  <si>
    <t>The cost ceiling from this sheet is written into PRD section 5.</t>
  </si>
  <si>
    <t>Sheet 1: Inference cost per review</t>
  </si>
  <si>
    <t>Base calculation of tokens per review (left), then the same review priced against three models (right). Formulas: cost per input = price x tokens / 1,000,000; cost per output likewise; total per month = cost per review x monthly volume.</t>
  </si>
  <si>
    <t>Base calculation (median review)</t>
  </si>
  <si>
    <t>Description</t>
  </si>
  <si>
    <t>Tokens</t>
  </si>
  <si>
    <t>Where the number came from</t>
  </si>
  <si>
    <t>Token-per-word multiplier</t>
  </si>
  <si>
    <t>Rule of thumb: 1.2 to 1.3 tokens per word; 1.3 used here.</t>
  </si>
  <si>
    <t>Contract words (median review)</t>
  </si>
  <si>
    <t>Measured: average of the 15 incoming contracts (26,362 words / 15).</t>
  </si>
  <si>
    <t>Contract text tokens</t>
  </si>
  <si>
    <t>Words x multiplier.</t>
  </si>
  <si>
    <t>System prompt, instructions, checklist and rules table</t>
  </si>
  <si>
    <t>Assumption: about 1,500 words of instructions (clause taxonomy, verdict rules, output format) plus the 2024 checklist (377 words) and the entity/rules table (288 words).</t>
  </si>
  <si>
    <t>Obligations register (confirmed entries)</t>
  </si>
  <si>
    <t>Measured on the prototype: the built register has 56 entries, sent as compact one-line rows; about 9,000 tokens. The first estimate assumed 30 entries / 3,000 tokens.</t>
  </si>
  <si>
    <t>Negotiation history (full text, V1 fallback)</t>
  </si>
  <si>
    <t>Measured: negotiation_notes.md is 1,092 words. Sent in full in V1 instead of vector search.</t>
  </si>
  <si>
    <t>Header-fact extraction call, facts and rules output, schema overhead</t>
  </si>
  <si>
    <t>Second call: the contract again plus about 500 tokens of extraction instructions. Measured on the prototype: the review prompt also carries the extracted facts, the rules-engine output and the output schema; the residual against measured input is about 10,000 tokens.</t>
  </si>
  <si>
    <t>Total input tokens per review</t>
  </si>
  <si>
    <t>Sum of the five lines above. Measured on the prototype across 6 reviews: 24,900 to 32,600 input tokens, average about 29,000.</t>
  </si>
  <si>
    <t>Clause table output (about 40 clauses)</t>
  </si>
  <si>
    <t>Measured on the prototype: 19 to 48 clause rows per contract, each with type, plain-English line, verdict, quote, reason and past positions. The first estimate (2,800) assumed 70 tokens per row; the model writes about 200.</t>
  </si>
  <si>
    <t>Brief, conflicts, next step, header facts</t>
  </si>
  <si>
    <t>Measured on the prototype: summary, register conflicts with both quotes, mutuality and not-checked lists.</t>
  </si>
  <si>
    <t>Reasoning (thinking) tokens allowance</t>
  </si>
  <si>
    <t>Measured on the prototype: total output ran 9,400 to 14,900 tokens per review; thinking is the residual after the visible JSON. Billed as output.</t>
  </si>
  <si>
    <t>Total output tokens per review</t>
  </si>
  <si>
    <t>Sum of the three lines above.</t>
  </si>
  <si>
    <t>Total tokens per review</t>
  </si>
  <si>
    <t>Input plus output.</t>
  </si>
  <si>
    <t>Contracts received per month</t>
  </si>
  <si>
    <t>Office hours baseline: 3 to 4 contracts plus 4 to 5 NDAs a month, seasonal; the internal queue meeting also said about 9. An earlier figure of about 20 is not used.</t>
  </si>
  <si>
    <t>Reviews per contract (versions after redlines)</t>
  </si>
  <si>
    <t>Assumption: about half the contracts come back once after negotiation and are reviewed again.</t>
  </si>
  <si>
    <t>Total reviews per month</t>
  </si>
  <si>
    <t>Contracts x reviews per contract.</t>
  </si>
  <si>
    <t>Model selection and cost per review</t>
  </si>
  <si>
    <t>Model</t>
  </si>
  <si>
    <t>Input $ per 1M</t>
  </si>
  <si>
    <t>Output $ per 1M</t>
  </si>
  <si>
    <t>Cost per review: input</t>
  </si>
  <si>
    <t>Cost per review: output</t>
  </si>
  <si>
    <t>Total cost per review</t>
  </si>
  <si>
    <t>Total cost per month</t>
  </si>
  <si>
    <t>Claude Opus 5.5</t>
  </si>
  <si>
    <t>Claude Sonnet 5 (chosen for the prototype)</t>
  </si>
  <si>
    <t>Claude Haiku 4.5</t>
  </si>
  <si>
    <t>Prices: Anthropic list prices per 1M tokens, platform.claude.com/docs/en/about-claude/pricing, reference copy dated 25 Sep 2026. Blue cells: retype from the live page before presenting. The PRD names no model; the ceiling was set on the most capable row so it holds whichever the dev team picks. MEASURED on the golden set (8 reviews each): Opus 5.5 $0.29 to $0.43 per review (first run, 6 completed); Sonnet 5 $0.09 to $0.23, average $0.17, 8 of 8 scenarios passed, 45 to 142 seconds. Sonnet 5 chosen for the prototype on 10 Oct.</t>
  </si>
  <si>
    <t>One-time register build and monthly upkeep</t>
  </si>
  <si>
    <t>Item</t>
  </si>
  <si>
    <t>Tokens in</t>
  </si>
  <si>
    <t>Tokens out</t>
  </si>
  <si>
    <t>Note</t>
  </si>
  <si>
    <t>Signed contracts, words (17 files)</t>
  </si>
  <si>
    <t>Measured on the dataset. About 30 signed contracts exist in reality; scale the words cell if more are found.</t>
  </si>
  <si>
    <t>Register build: one extraction call per contract</t>
  </si>
  <si>
    <t>Measured on the prototype: the real build read 76,000 input tokens and wrote 34,000 output tokens across 17 files (about 2,000 output tokens per file, four times the first estimate of 500) and cost $0.96. The first attempt, with a 6,000-token output cap, was cut off mid-file; the cap now is 20,000.</t>
  </si>
  <si>
    <t>One-time register build cost (most capable model)</t>
  </si>
  <si>
    <t>Priced at the Opus row so the ceiling is conservative.</t>
  </si>
  <si>
    <t>Contracts signed per month</t>
  </si>
  <si>
    <t>Assumption: about half of the 9 received reach signature.</t>
  </si>
  <si>
    <t>Monthly post-signature extraction cost</t>
  </si>
  <si>
    <t>Per signed contract: average signed-contract tokens plus instructions in, about 500 tokens of new register entries out, Opus prices.</t>
  </si>
  <si>
    <t>Low, median and high review</t>
  </si>
  <si>
    <t>Same formulas as the Inference tab, with the contract size and output size varied. Low = a short NDA. Median = the average incoming contract. High = the longest contract in the dataset (Harrington MSA) with a long clause table. Priced at the most capable model so the ceiling is conservative.</t>
  </si>
  <si>
    <t>Low (short NDA)</t>
  </si>
  <si>
    <t>Median</t>
  </si>
  <si>
    <t>High (Harrington MSA)</t>
  </si>
  <si>
    <t>Source</t>
  </si>
  <si>
    <t>Contract words</t>
  </si>
  <si>
    <t>Low: Daniel Ortiz NDA, 627 words. High: Harrington MSA, 3,416 words. Both measured.</t>
  </si>
  <si>
    <t>Contract tokens</t>
  </si>
  <si>
    <t>Fixed context (prompt + register + history)</t>
  </si>
  <si>
    <t>Same in every scenario; linked from the Inference tab.</t>
  </si>
  <si>
    <t>Extraction call input, facts, rules output and schema</t>
  </si>
  <si>
    <t>Contract again plus 500 tokens, plus the measured 10,000-token residual (extracted facts, rules output, output schema), as on the Inference tab.</t>
  </si>
  <si>
    <t>Total input tokens</t>
  </si>
  <si>
    <t>Clause table output</t>
  </si>
  <si>
    <t>Measured on the prototype: 19 clause rows on the short NDA (9,400 total output), 44 to 48 rows on the long MSAs (up to 14,900 total output). Low: about 20 rows. High: about 55 rows at about 220 tokens each.</t>
  </si>
  <si>
    <t>Brief and reasoning allowance</t>
  </si>
  <si>
    <t>Linked.</t>
  </si>
  <si>
    <t>Total output tokens</t>
  </si>
  <si>
    <t>Cost per review, most capable model</t>
  </si>
  <si>
    <t>Opus 5.5 list prices from the Inference tab.</t>
  </si>
  <si>
    <t>Cost per month at the Inference tab's volume (9 contracts x 1.5 reviews), if ALL were this size</t>
  </si>
  <si>
    <t>Bounds for the monthly bill.</t>
  </si>
  <si>
    <t>Proposed cost ceiling for the PRD</t>
  </si>
  <si>
    <t>Per review</t>
  </si>
  <si>
    <t>Per month</t>
  </si>
  <si>
    <t>Written into PRD section 5. The alert fires at 80% of the monthly ceiling.</t>
  </si>
  <si>
    <t>Sheet 2: Embedding cost (precedent retrieval)</t>
  </si>
  <si>
    <t>Only needed if the dev team chooses vector search for the precedent check. V1 sends the negotiation notes in full, so this is an upper bound. Embedding is cheap because it converts text to vectors with no reasoning.</t>
  </si>
  <si>
    <t>Component</t>
  </si>
  <si>
    <t>Value</t>
  </si>
  <si>
    <t>Source / note</t>
  </si>
  <si>
    <t>Negotiation history words</t>
  </si>
  <si>
    <t>Measured.</t>
  </si>
  <si>
    <t>Signed contracts words (indexed for precedent too)</t>
  </si>
  <si>
    <t>Linked from the Inference tab.</t>
  </si>
  <si>
    <t>Total tokens to index (one time)</t>
  </si>
  <si>
    <t>Embedding price $ per 1M tokens</t>
  </si>
  <si>
    <t>Reference price: OpenAI text-embedding-3-large at $0.13 per 1M. Anthropic does not sell embeddings; the dev team picks the provider. Replace with the chosen provider's price.</t>
  </si>
  <si>
    <t>One-time indexing cost</t>
  </si>
  <si>
    <t>Clauses embedded per review (queries)</t>
  </si>
  <si>
    <t>Assumption: one query per clause marked for precedent lookup, upper bound.</t>
  </si>
  <si>
    <t>Tokens per clause query</t>
  </si>
  <si>
    <t>Assumption: a clause summary of about 55 words.</t>
  </si>
  <si>
    <t>Reviews per month</t>
  </si>
  <si>
    <t>Query tokens per month</t>
  </si>
  <si>
    <t>Clauses x tokens x reviews.</t>
  </si>
  <si>
    <t>Monthly query embedding cost</t>
  </si>
  <si>
    <t>Total embedding cost, first month</t>
  </si>
  <si>
    <t>One-time indexing plus the first month's queries.</t>
  </si>
  <si>
    <t>Sheet 3: Cost-benefit hypothesis</t>
  </si>
  <si>
    <t>What leadership actually reads. Today's cost of review versus the assistant's running cost. The CEO's hour has no salary line, so its value is an input you set; the saving is also shown in hours, which needs no assumption.</t>
  </si>
  <si>
    <t>Today: the human review</t>
  </si>
  <si>
    <t>Client contracts per month</t>
  </si>
  <si>
    <t>Office hours: 3 to 4 client contracts a month.</t>
  </si>
  <si>
    <t>NDAs per month</t>
  </si>
  <si>
    <t>Office hours: 4 to 5 NDAs a month. B6 + B7 = the 9 documents on the Inference tab.</t>
  </si>
  <si>
    <t>Hours per client contract today</t>
  </si>
  <si>
    <t>Office hours: a standard review is about 2 hours, a complex one 6 to 8; 3 is the conservative middle.</t>
  </si>
  <si>
    <t>Hours per NDA today</t>
  </si>
  <si>
    <t>ASSUMPTION: a mutual NDA read properly takes about 30 minutes; Karandeep signs many on sight, which is the risk, not a saving. Set with Karandeep.</t>
  </si>
  <si>
    <t>Reviewer hours per month today</t>
  </si>
  <si>
    <t>Value of one reviewer hour (rupees)</t>
  </si>
  <si>
    <t>ASSUMPTION to replace: opportunity cost of a founder-CEO hour. No salary figure exists in the dataset. Set with Karandeep.</t>
  </si>
  <si>
    <t>Monthly cost of review today (rupees)</t>
  </si>
  <si>
    <t>Counsel: cost per complex matter (rupees)</t>
  </si>
  <si>
    <t>Counsel call in the dataset: 1,20,000 rupees for the Gulf Crown and Al Noor matter together.</t>
  </si>
  <si>
    <t>Routine counsel matters avoided per year</t>
  </si>
  <si>
    <t>ASSUMPTION: matters that today go to counsel for lack of anywhere else to look (office hours). Annual counsel spend is to be shared by the client. Kept OUT of the headline saving below.</t>
  </si>
  <si>
    <t>Counsel upside per month, if realised (rupees)</t>
  </si>
  <si>
    <t>Shown separately; not in the headline.</t>
  </si>
  <si>
    <t>With the assistant</t>
  </si>
  <si>
    <t>Hours per client contract with the assistant</t>
  </si>
  <si>
    <t>PRD North Star target: under 30 minutes of reviewer time per contract.</t>
  </si>
  <si>
    <t>Hours per NDA with the assistant</t>
  </si>
  <si>
    <t>ASSUMPTION: about 10 minutes to read the brief and the mutuality check.</t>
  </si>
  <si>
    <t>Reviewer hours per month with the assistant</t>
  </si>
  <si>
    <t>Reviewer hours saved per month</t>
  </si>
  <si>
    <t>The number that needs the fewest assumptions.</t>
  </si>
  <si>
    <t>Value of hours saved (rupees)</t>
  </si>
  <si>
    <t>Rupees per US dollar</t>
  </si>
  <si>
    <t>ASSUMPTION: exchange rate on the day; replace.</t>
  </si>
  <si>
    <t>Assistant inference cost per month (most capable model, USD)</t>
  </si>
  <si>
    <t>Linked: reviews at the most capable model's prices plus post-signature extraction; the chosen model costs about half.</t>
  </si>
  <si>
    <t>Embedding cost per month (USD)</t>
  </si>
  <si>
    <t>Linked; upper bound.</t>
  </si>
  <si>
    <t>Assistant running cost per month (rupees)</t>
  </si>
  <si>
    <t>Monthly saving (rupees), headline</t>
  </si>
  <si>
    <t>Hours saved valued at the input rate, minus the assistant's running cost. Counsel is NOT included; see B15.</t>
  </si>
  <si>
    <t>Percentage saving against today's review cost</t>
  </si>
  <si>
    <t>Monthly saving including the counsel upside (rupees)</t>
  </si>
  <si>
    <t>Only if the 4 avoided matters a year hold.</t>
  </si>
  <si>
    <t>One-time register build (USD)</t>
  </si>
  <si>
    <t>Linked. Paid once.</t>
  </si>
  <si>
    <t>The headline saving rests on three inputs: the volume and hours the client gave in the office hours, an assumed NDA review time, and an assumed value of a founder hour. Not counted, by design: counsel avoided (shown separately), incidents avoided (Brightwater cost a $9,000 settlement and a $14,200 legal bill), deals lost to the queue (ShopSwift's quarter), and the sellers' chasing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</si>
</sst>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
    <numFmt numFmtId="166" formatCode="[$₹-4009]#,##0"/>
    <numFmt numFmtId="167" formatCode="0.0%"/>
  </numFmts>
  <fonts count="9" x14ac:knownFonts="1">
    <font>
      <sz val="11"/>
      <color theme="1"/>
      <name val="Calibri"/>
      <family val="2"/>
      <scheme val="minor"/>
    </font>
    <font>
      <b/>
      <sz val="14"/>
      <color rgb="FF123A5E"/>
      <name val="Arial"/>
      <family val="2"/>
    </font>
    <font>
      <i/>
      <sz val="9"/>
      <color rgb="FF555555"/>
      <name val="Arial"/>
      <family val="2"/>
    </font>
    <font>
      <b/>
      <sz val="10"/>
      <color theme="1"/>
      <name val="Arial"/>
      <family val="2"/>
    </font>
    <font>
      <sz val="10"/>
      <color theme="1"/>
      <name val="Arial"/>
      <family val="2"/>
    </font>
    <font>
      <b/>
      <sz val="11"/>
      <color rgb="FFFFFFFF"/>
      <name val="Arial"/>
      <family val="2"/>
    </font>
    <font>
      <sz val="10"/>
      <color rgb="FF0000FF"/>
      <name val="Arial"/>
      <family val="2"/>
    </font>
    <font>
      <sz val="9"/>
      <color rgb="FF444444"/>
      <name val="Arial"/>
      <family val="2"/>
    </font>
    <font>
      <sz val="10"/>
      <color rgb="FF008000"/>
      <name val="Arial"/>
      <family val="2"/>
    </font>
  </fonts>
  <fills count="6">
    <fill>
      <patternFill patternType="none"/>
    </fill>
    <fill>
      <patternFill patternType="gray125"/>
    </fill>
    <fill>
      <patternFill patternType="solid">
        <fgColor rgb="FFE3ECF5"/>
        <bgColor indexed="64"/>
      </patternFill>
    </fill>
    <fill>
      <patternFill patternType="solid">
        <fgColor rgb="FF123A5E"/>
        <bgColor indexed="64"/>
      </patternFill>
    </fill>
    <fill>
      <patternFill patternType="solid">
        <fgColor rgb="FFFFFF00"/>
        <bgColor indexed="64"/>
      </patternFill>
    </fill>
    <fill>
      <patternFill patternType="solid">
        <fgColor rgb="FFEAF6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0" xfId="0" applyFont="1"/>
    <xf numFmtId="0" fontId="3" fillId="2" borderId="1" xfId="0" applyFont="1" applyFill="1" applyBorder="1" applyAlignment="1">
      <alignment vertical="top" wrapText="1"/>
    </xf>
    <xf numFmtId="0" fontId="4" fillId="0" borderId="1" xfId="0" applyFont="1" applyBorder="1" applyAlignment="1">
      <alignment vertical="top" wrapText="1"/>
    </xf>
    <xf numFmtId="0" fontId="5" fillId="3" borderId="0" xfId="0" applyFont="1" applyFill="1"/>
    <xf numFmtId="4" fontId="6" fillId="4" borderId="1" xfId="0" applyNumberFormat="1" applyFont="1" applyFill="1" applyBorder="1"/>
    <xf numFmtId="0" fontId="7" fillId="0" borderId="1" xfId="0" applyFont="1" applyBorder="1" applyAlignment="1">
      <alignment vertical="top" wrapText="1"/>
    </xf>
    <xf numFmtId="164" fontId="4" fillId="0" borderId="1" xfId="0" applyNumberFormat="1" applyFont="1" applyBorder="1"/>
    <xf numFmtId="165" fontId="3" fillId="5" borderId="1" xfId="0" applyNumberFormat="1" applyFont="1" applyFill="1" applyBorder="1"/>
    <xf numFmtId="3" fontId="6" fillId="4" borderId="1" xfId="0" applyNumberFormat="1" applyFont="1" applyFill="1" applyBorder="1"/>
    <xf numFmtId="3" fontId="4" fillId="0" borderId="1" xfId="0" applyNumberFormat="1" applyFont="1" applyBorder="1"/>
    <xf numFmtId="3" fontId="3" fillId="5" borderId="1" xfId="0" applyNumberFormat="1" applyFont="1" applyFill="1" applyBorder="1"/>
    <xf numFmtId="3" fontId="8" fillId="0" borderId="1" xfId="0" applyNumberFormat="1" applyFont="1" applyBorder="1"/>
    <xf numFmtId="166" fontId="4" fillId="0" borderId="1" xfId="0" applyNumberFormat="1" applyFont="1" applyBorder="1"/>
    <xf numFmtId="165" fontId="8" fillId="0" borderId="1" xfId="0" applyNumberFormat="1" applyFont="1" applyBorder="1"/>
    <xf numFmtId="166" fontId="3" fillId="5" borderId="1" xfId="0" applyNumberFormat="1" applyFont="1" applyFill="1" applyBorder="1"/>
    <xf numFmtId="167" fontId="3" fillId="5" borderId="1" xfId="0" applyNumberFormat="1" applyFont="1" applyFill="1" applyBorder="1"/>
    <xf numFmtId="0" fontId="2" fillId="0" borderId="0" xfId="0" applyFont="1" applyAlignment="1">
      <alignment vertical="top" wrapText="1"/>
    </xf>
    <xf numFmtId="0" fontId="7" fillId="0" borderId="1" xfId="0" applyFont="1" applyBorder="1" applyAlignment="1">
      <alignment vertical="top" wrapText="1"/>
    </xf>
    <xf numFmtId="0" fontId="3"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heetViews>
  <sheetFormatPr defaultRowHeight="14.4" x14ac:dyDescent="0.3"/>
  <cols>
    <col min="1" max="1" width="30.6640625" customWidth="1"/>
    <col min="2" max="2" width="100.6640625" customWidth="1"/>
  </cols>
  <sheetData>
    <row r="1" spans="1:2" ht="17.399999999999999" x14ac:dyDescent="0.3">
      <c r="A1" s="1" t="s">
        <v>0</v>
      </c>
    </row>
    <row r="2" spans="1:2" ht="42" customHeight="1" x14ac:dyDescent="0.3">
      <c r="A2" s="17" t="s">
        <v>1</v>
      </c>
      <c r="B2" s="17"/>
    </row>
    <row r="4" spans="1:2" ht="26.4" x14ac:dyDescent="0.3">
      <c r="A4" s="2" t="s">
        <v>2</v>
      </c>
      <c r="B4" s="3" t="s">
        <v>3</v>
      </c>
    </row>
    <row r="5" spans="1:2" ht="26.4" x14ac:dyDescent="0.3">
      <c r="A5" s="2" t="s">
        <v>4</v>
      </c>
      <c r="B5" s="3" t="s">
        <v>5</v>
      </c>
    </row>
    <row r="6" spans="1:2" ht="26.4" x14ac:dyDescent="0.3">
      <c r="A6" s="2" t="s">
        <v>6</v>
      </c>
      <c r="B6" s="3" t="s">
        <v>7</v>
      </c>
    </row>
    <row r="7" spans="1:2" ht="39.6" x14ac:dyDescent="0.3">
      <c r="A7" s="2" t="s">
        <v>8</v>
      </c>
      <c r="B7" s="3" t="s">
        <v>9</v>
      </c>
    </row>
    <row r="8" spans="1:2" ht="26.4" x14ac:dyDescent="0.3">
      <c r="A8" s="2" t="s">
        <v>10</v>
      </c>
      <c r="B8" s="3" t="s">
        <v>11</v>
      </c>
    </row>
    <row r="9" spans="1:2" ht="26.4" x14ac:dyDescent="0.3">
      <c r="A9" s="2" t="s">
        <v>12</v>
      </c>
      <c r="B9" s="3" t="s">
        <v>13</v>
      </c>
    </row>
    <row r="10" spans="1:2" ht="26.4" x14ac:dyDescent="0.3">
      <c r="A10" s="2" t="s">
        <v>14</v>
      </c>
      <c r="B10" s="3" t="s">
        <v>15</v>
      </c>
    </row>
    <row r="11" spans="1:2" ht="52.8" x14ac:dyDescent="0.3">
      <c r="A11" s="2" t="s">
        <v>16</v>
      </c>
      <c r="B11" s="3" t="s">
        <v>17</v>
      </c>
    </row>
    <row r="12" spans="1:2" x14ac:dyDescent="0.3">
      <c r="A12" s="2" t="s">
        <v>18</v>
      </c>
      <c r="B12" s="3" t="s">
        <v>19</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workbookViewId="0"/>
  </sheetViews>
  <sheetFormatPr defaultRowHeight="14.4" x14ac:dyDescent="0.3"/>
  <cols>
    <col min="1" max="1" width="44.6640625" customWidth="1"/>
    <col min="2" max="2" width="14.6640625" customWidth="1"/>
    <col min="3" max="3" width="60.6640625" customWidth="1"/>
    <col min="4" max="4" width="4.6640625" customWidth="1"/>
    <col min="5" max="5" width="24.6640625" customWidth="1"/>
    <col min="6" max="7" width="14.6640625" customWidth="1"/>
    <col min="8" max="11" width="16.6640625" customWidth="1"/>
  </cols>
  <sheetData>
    <row r="1" spans="1:11" ht="17.399999999999999" x14ac:dyDescent="0.3">
      <c r="A1" s="1" t="s">
        <v>20</v>
      </c>
    </row>
    <row r="2" spans="1:11" ht="42" customHeight="1" x14ac:dyDescent="0.3">
      <c r="A2" s="17" t="s">
        <v>21</v>
      </c>
      <c r="B2" s="17"/>
      <c r="C2" s="17"/>
      <c r="D2" s="17"/>
      <c r="E2" s="17"/>
      <c r="F2" s="17"/>
      <c r="G2" s="17"/>
      <c r="H2" s="17"/>
      <c r="I2" s="17"/>
      <c r="J2" s="17"/>
      <c r="K2" s="17"/>
    </row>
    <row r="4" spans="1:11" x14ac:dyDescent="0.3">
      <c r="A4" s="4" t="s">
        <v>22</v>
      </c>
      <c r="B4" s="4"/>
      <c r="C4" s="4"/>
      <c r="E4" s="4" t="s">
        <v>58</v>
      </c>
      <c r="F4" s="4"/>
      <c r="G4" s="4"/>
      <c r="H4" s="4"/>
      <c r="I4" s="4"/>
      <c r="J4" s="4"/>
      <c r="K4" s="4"/>
    </row>
    <row r="5" spans="1:11" ht="26.4" x14ac:dyDescent="0.3">
      <c r="A5" s="2" t="s">
        <v>23</v>
      </c>
      <c r="B5" s="2" t="s">
        <v>24</v>
      </c>
      <c r="C5" s="2" t="s">
        <v>25</v>
      </c>
      <c r="E5" s="2" t="s">
        <v>59</v>
      </c>
      <c r="F5" s="2" t="s">
        <v>60</v>
      </c>
      <c r="G5" s="2" t="s">
        <v>61</v>
      </c>
      <c r="H5" s="2" t="s">
        <v>62</v>
      </c>
      <c r="I5" s="2" t="s">
        <v>63</v>
      </c>
      <c r="J5" s="2" t="s">
        <v>64</v>
      </c>
      <c r="K5" s="2" t="s">
        <v>65</v>
      </c>
    </row>
    <row r="6" spans="1:11" x14ac:dyDescent="0.3">
      <c r="A6" s="3" t="s">
        <v>26</v>
      </c>
      <c r="B6" s="5">
        <v>1.3</v>
      </c>
      <c r="C6" s="6" t="s">
        <v>27</v>
      </c>
      <c r="E6" s="3" t="s">
        <v>66</v>
      </c>
      <c r="F6" s="5">
        <v>4</v>
      </c>
      <c r="G6" s="5">
        <v>20</v>
      </c>
      <c r="H6" s="7">
        <f>F6*$B$13/1000000</f>
        <v>0.10995120000000001</v>
      </c>
      <c r="I6" s="7">
        <f>G6*$B$17/1000000</f>
        <v>0.28000000000000003</v>
      </c>
      <c r="J6" s="7">
        <f>H6+I6</f>
        <v>0.38995120000000005</v>
      </c>
      <c r="K6" s="8">
        <f>J6*$B$21</f>
        <v>5.2643412000000005</v>
      </c>
    </row>
    <row r="7" spans="1:11" ht="26.4" x14ac:dyDescent="0.3">
      <c r="A7" s="3" t="s">
        <v>28</v>
      </c>
      <c r="B7" s="9">
        <v>1757</v>
      </c>
      <c r="C7" s="6" t="s">
        <v>29</v>
      </c>
      <c r="E7" s="3" t="s">
        <v>67</v>
      </c>
      <c r="F7" s="5">
        <v>2</v>
      </c>
      <c r="G7" s="5">
        <v>10</v>
      </c>
      <c r="H7" s="7">
        <f>F7*$B$13/1000000</f>
        <v>5.4975600000000006E-2</v>
      </c>
      <c r="I7" s="7">
        <f>G7*$B$17/1000000</f>
        <v>0.14000000000000001</v>
      </c>
      <c r="J7" s="7">
        <f>H7+I7</f>
        <v>0.19497560000000003</v>
      </c>
      <c r="K7" s="8">
        <f>J7*$B$21</f>
        <v>2.6321706000000002</v>
      </c>
    </row>
    <row r="8" spans="1:11" x14ac:dyDescent="0.3">
      <c r="A8" s="3" t="s">
        <v>30</v>
      </c>
      <c r="B8" s="10">
        <f>B7*B6</f>
        <v>2284.1</v>
      </c>
      <c r="C8" s="6" t="s">
        <v>31</v>
      </c>
      <c r="E8" s="3" t="s">
        <v>68</v>
      </c>
      <c r="F8" s="5">
        <v>1</v>
      </c>
      <c r="G8" s="5">
        <v>5</v>
      </c>
      <c r="H8" s="7">
        <f>F8*$B$13/1000000</f>
        <v>2.7487800000000003E-2</v>
      </c>
      <c r="I8" s="7">
        <f>G8*$B$17/1000000</f>
        <v>7.0000000000000007E-2</v>
      </c>
      <c r="J8" s="7">
        <f>H8+I8</f>
        <v>9.7487800000000013E-2</v>
      </c>
      <c r="K8" s="8">
        <f>J8*$B$21</f>
        <v>1.3160853000000001</v>
      </c>
    </row>
    <row r="9" spans="1:11" ht="64.05" customHeight="1" x14ac:dyDescent="0.3">
      <c r="A9" s="3" t="s">
        <v>32</v>
      </c>
      <c r="B9" s="9">
        <v>2000</v>
      </c>
      <c r="C9" s="6" t="s">
        <v>33</v>
      </c>
      <c r="E9" s="18" t="s">
        <v>69</v>
      </c>
      <c r="F9" s="18"/>
      <c r="G9" s="18"/>
      <c r="H9" s="18"/>
      <c r="I9" s="18"/>
      <c r="J9" s="18"/>
      <c r="K9" s="18"/>
    </row>
    <row r="10" spans="1:11" ht="34.200000000000003" x14ac:dyDescent="0.3">
      <c r="A10" s="3" t="s">
        <v>34</v>
      </c>
      <c r="B10" s="9">
        <v>9000</v>
      </c>
      <c r="C10" s="6" t="s">
        <v>35</v>
      </c>
    </row>
    <row r="11" spans="1:11" ht="22.8" x14ac:dyDescent="0.3">
      <c r="A11" s="3" t="s">
        <v>36</v>
      </c>
      <c r="B11" s="10">
        <f>1092*B6</f>
        <v>1419.6000000000001</v>
      </c>
      <c r="C11" s="6" t="s">
        <v>37</v>
      </c>
      <c r="E11" s="4" t="s">
        <v>70</v>
      </c>
      <c r="F11" s="4"/>
      <c r="G11" s="4"/>
      <c r="H11" s="4"/>
      <c r="I11" s="4"/>
      <c r="J11" s="4"/>
      <c r="K11" s="4"/>
    </row>
    <row r="12" spans="1:11" ht="45.6" x14ac:dyDescent="0.3">
      <c r="A12" s="3" t="s">
        <v>38</v>
      </c>
      <c r="B12" s="10">
        <f>B8+500+10000</f>
        <v>12784.1</v>
      </c>
      <c r="C12" s="6" t="s">
        <v>39</v>
      </c>
      <c r="E12" s="2" t="s">
        <v>71</v>
      </c>
      <c r="F12" s="2" t="s">
        <v>72</v>
      </c>
      <c r="G12" s="2" t="s">
        <v>73</v>
      </c>
      <c r="H12" s="19" t="s">
        <v>74</v>
      </c>
      <c r="I12" s="19"/>
      <c r="J12" s="19"/>
      <c r="K12" s="19"/>
    </row>
    <row r="13" spans="1:11" ht="28.05" customHeight="1" x14ac:dyDescent="0.3">
      <c r="A13" s="3" t="s">
        <v>40</v>
      </c>
      <c r="B13" s="11">
        <f>B8+B9+B10+B11+B12</f>
        <v>27487.800000000003</v>
      </c>
      <c r="C13" s="6" t="s">
        <v>41</v>
      </c>
      <c r="E13" s="3" t="s">
        <v>75</v>
      </c>
      <c r="F13" s="9">
        <v>23180</v>
      </c>
      <c r="G13" s="3"/>
      <c r="H13" s="18" t="s">
        <v>76</v>
      </c>
      <c r="I13" s="18"/>
      <c r="J13" s="18"/>
      <c r="K13" s="18"/>
    </row>
    <row r="14" spans="1:11" ht="40.049999999999997" customHeight="1" x14ac:dyDescent="0.3">
      <c r="A14" s="3" t="s">
        <v>42</v>
      </c>
      <c r="B14" s="9">
        <v>9000</v>
      </c>
      <c r="C14" s="6" t="s">
        <v>43</v>
      </c>
      <c r="E14" s="3" t="s">
        <v>77</v>
      </c>
      <c r="F14" s="10">
        <f>F13*$B$6+17*1800</f>
        <v>60734</v>
      </c>
      <c r="G14" s="10">
        <f>17*2000</f>
        <v>34000</v>
      </c>
      <c r="H14" s="18" t="s">
        <v>78</v>
      </c>
      <c r="I14" s="18"/>
      <c r="J14" s="18"/>
      <c r="K14" s="18"/>
    </row>
    <row r="15" spans="1:11" ht="26.4" x14ac:dyDescent="0.3">
      <c r="A15" s="3" t="s">
        <v>44</v>
      </c>
      <c r="B15" s="9">
        <v>1500</v>
      </c>
      <c r="C15" s="6" t="s">
        <v>45</v>
      </c>
      <c r="E15" s="3" t="s">
        <v>79</v>
      </c>
      <c r="F15" s="8">
        <f>F14*$F$6/1000000+G14*$G$6/1000000</f>
        <v>0.92293600000000009</v>
      </c>
      <c r="H15" s="18" t="s">
        <v>80</v>
      </c>
      <c r="I15" s="18"/>
      <c r="J15" s="18"/>
      <c r="K15" s="18"/>
    </row>
    <row r="16" spans="1:11" ht="22.8" x14ac:dyDescent="0.3">
      <c r="A16" s="3" t="s">
        <v>46</v>
      </c>
      <c r="B16" s="9">
        <v>3500</v>
      </c>
      <c r="C16" s="6" t="s">
        <v>47</v>
      </c>
      <c r="E16" s="3" t="s">
        <v>81</v>
      </c>
      <c r="F16" s="9">
        <v>4.5</v>
      </c>
      <c r="H16" s="18" t="s">
        <v>82</v>
      </c>
      <c r="I16" s="18"/>
      <c r="J16" s="18"/>
      <c r="K16" s="18"/>
    </row>
    <row r="17" spans="1:11" ht="28.05" customHeight="1" x14ac:dyDescent="0.3">
      <c r="A17" s="3" t="s">
        <v>48</v>
      </c>
      <c r="B17" s="11">
        <f>B14+B15+B16</f>
        <v>14000</v>
      </c>
      <c r="C17" s="6" t="s">
        <v>49</v>
      </c>
      <c r="E17" s="3" t="s">
        <v>83</v>
      </c>
      <c r="F17" s="8">
        <f>F16*((23180/17*$B$6+800)*$F$6/1000000+500*$G$6/1000000)</f>
        <v>9.1306588235294125E-2</v>
      </c>
      <c r="H17" s="18" t="s">
        <v>84</v>
      </c>
      <c r="I17" s="18"/>
      <c r="J17" s="18"/>
      <c r="K17" s="18"/>
    </row>
    <row r="18" spans="1:11" x14ac:dyDescent="0.3">
      <c r="A18" s="3" t="s">
        <v>50</v>
      </c>
      <c r="B18" s="11">
        <f>B13+B17</f>
        <v>41487.800000000003</v>
      </c>
      <c r="C18" s="6" t="s">
        <v>51</v>
      </c>
    </row>
    <row r="19" spans="1:11" ht="22.8" x14ac:dyDescent="0.3">
      <c r="A19" s="3" t="s">
        <v>52</v>
      </c>
      <c r="B19" s="9">
        <v>9</v>
      </c>
      <c r="C19" s="6" t="s">
        <v>53</v>
      </c>
    </row>
    <row r="20" spans="1:11" ht="22.8" x14ac:dyDescent="0.3">
      <c r="A20" s="3" t="s">
        <v>54</v>
      </c>
      <c r="B20" s="5">
        <v>1.5</v>
      </c>
      <c r="C20" s="6" t="s">
        <v>55</v>
      </c>
    </row>
    <row r="21" spans="1:11" x14ac:dyDescent="0.3">
      <c r="A21" s="3" t="s">
        <v>56</v>
      </c>
      <c r="B21" s="11">
        <f>B19*B20</f>
        <v>13.5</v>
      </c>
      <c r="C21" s="6" t="s">
        <v>57</v>
      </c>
    </row>
  </sheetData>
  <mergeCells count="8">
    <mergeCell ref="H15:K15"/>
    <mergeCell ref="H16:K16"/>
    <mergeCell ref="H17:K17"/>
    <mergeCell ref="A2:K2"/>
    <mergeCell ref="E9:K9"/>
    <mergeCell ref="H12:K12"/>
    <mergeCell ref="H13:K13"/>
    <mergeCell ref="H14:K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workbookViewId="0"/>
  </sheetViews>
  <sheetFormatPr defaultRowHeight="14.4" x14ac:dyDescent="0.3"/>
  <cols>
    <col min="1" max="1" width="44.6640625" customWidth="1"/>
    <col min="2" max="4" width="16.6640625" customWidth="1"/>
    <col min="5" max="5" width="60.6640625" customWidth="1"/>
  </cols>
  <sheetData>
    <row r="1" spans="1:5" ht="17.399999999999999" x14ac:dyDescent="0.3">
      <c r="A1" s="1" t="s">
        <v>85</v>
      </c>
    </row>
    <row r="2" spans="1:5" ht="42" customHeight="1" x14ac:dyDescent="0.3">
      <c r="A2" s="17" t="s">
        <v>86</v>
      </c>
      <c r="B2" s="17"/>
      <c r="C2" s="17"/>
      <c r="D2" s="17"/>
      <c r="E2" s="17"/>
    </row>
    <row r="4" spans="1:5" ht="26.4" x14ac:dyDescent="0.3">
      <c r="A4" s="2"/>
      <c r="B4" s="2" t="s">
        <v>87</v>
      </c>
      <c r="C4" s="2" t="s">
        <v>88</v>
      </c>
      <c r="D4" s="2" t="s">
        <v>89</v>
      </c>
      <c r="E4" s="2" t="s">
        <v>90</v>
      </c>
    </row>
    <row r="5" spans="1:5" ht="22.8" x14ac:dyDescent="0.3">
      <c r="A5" s="3" t="s">
        <v>91</v>
      </c>
      <c r="B5" s="9">
        <v>627</v>
      </c>
      <c r="C5" s="12">
        <f>Inference!B7</f>
        <v>1757</v>
      </c>
      <c r="D5" s="9">
        <v>3416</v>
      </c>
      <c r="E5" s="6" t="s">
        <v>92</v>
      </c>
    </row>
    <row r="6" spans="1:5" x14ac:dyDescent="0.3">
      <c r="A6" s="3" t="s">
        <v>93</v>
      </c>
      <c r="B6" s="10">
        <f>B5*Inference!$B$6</f>
        <v>815.1</v>
      </c>
      <c r="C6" s="10">
        <f>C5*Inference!$B$6</f>
        <v>2284.1</v>
      </c>
      <c r="D6" s="10">
        <f>D5*Inference!$B$6</f>
        <v>4440.8</v>
      </c>
      <c r="E6" s="6" t="s">
        <v>31</v>
      </c>
    </row>
    <row r="7" spans="1:5" x14ac:dyDescent="0.3">
      <c r="A7" s="3" t="s">
        <v>94</v>
      </c>
      <c r="B7" s="12">
        <f>Inference!$B$9+Inference!$B$10+Inference!$B$11</f>
        <v>12419.6</v>
      </c>
      <c r="C7" s="12">
        <f>Inference!$B$9+Inference!$B$10+Inference!$B$11</f>
        <v>12419.6</v>
      </c>
      <c r="D7" s="12">
        <f>Inference!$B$9+Inference!$B$10+Inference!$B$11</f>
        <v>12419.6</v>
      </c>
      <c r="E7" s="6" t="s">
        <v>95</v>
      </c>
    </row>
    <row r="8" spans="1:5" ht="22.8" x14ac:dyDescent="0.3">
      <c r="A8" s="3" t="s">
        <v>96</v>
      </c>
      <c r="B8" s="10">
        <f>B6+500+10000</f>
        <v>11315.1</v>
      </c>
      <c r="C8" s="10">
        <f>C6+500+10000</f>
        <v>12784.1</v>
      </c>
      <c r="D8" s="10">
        <f>D6+500+10000</f>
        <v>14940.8</v>
      </c>
      <c r="E8" s="6" t="s">
        <v>97</v>
      </c>
    </row>
    <row r="9" spans="1:5" x14ac:dyDescent="0.3">
      <c r="A9" s="3" t="s">
        <v>98</v>
      </c>
      <c r="B9" s="11">
        <f>B6+B7+B8</f>
        <v>24549.800000000003</v>
      </c>
      <c r="C9" s="11">
        <f>C6+C7+C8</f>
        <v>27487.800000000003</v>
      </c>
      <c r="D9" s="11">
        <f>D6+D7+D8</f>
        <v>31801.200000000001</v>
      </c>
      <c r="E9" s="6"/>
    </row>
    <row r="10" spans="1:5" ht="34.200000000000003" x14ac:dyDescent="0.3">
      <c r="A10" s="3" t="s">
        <v>99</v>
      </c>
      <c r="B10" s="9">
        <v>4000</v>
      </c>
      <c r="C10" s="12">
        <f>Inference!B14</f>
        <v>9000</v>
      </c>
      <c r="D10" s="9">
        <v>12000</v>
      </c>
      <c r="E10" s="6" t="s">
        <v>100</v>
      </c>
    </row>
    <row r="11" spans="1:5" x14ac:dyDescent="0.3">
      <c r="A11" s="3" t="s">
        <v>101</v>
      </c>
      <c r="B11" s="12">
        <f>Inference!$B$15+Inference!$B$16</f>
        <v>5000</v>
      </c>
      <c r="C11" s="12">
        <f>Inference!$B$15+Inference!$B$16</f>
        <v>5000</v>
      </c>
      <c r="D11" s="12">
        <f>Inference!$B$15+Inference!$B$16</f>
        <v>5000</v>
      </c>
      <c r="E11" s="6" t="s">
        <v>102</v>
      </c>
    </row>
    <row r="12" spans="1:5" x14ac:dyDescent="0.3">
      <c r="A12" s="3" t="s">
        <v>103</v>
      </c>
      <c r="B12" s="11">
        <f>B10+B11</f>
        <v>9000</v>
      </c>
      <c r="C12" s="11">
        <f>C10+C11</f>
        <v>14000</v>
      </c>
      <c r="D12" s="11">
        <f>D10+D11</f>
        <v>17000</v>
      </c>
      <c r="E12" s="6"/>
    </row>
    <row r="13" spans="1:5" x14ac:dyDescent="0.3">
      <c r="A13" s="3" t="s">
        <v>104</v>
      </c>
      <c r="B13" s="8">
        <f>B9*Inference!$F$6/1000000+B12*Inference!$G$6/1000000</f>
        <v>0.27819919999999998</v>
      </c>
      <c r="C13" s="8">
        <f>C9*Inference!$F$6/1000000+C12*Inference!$G$6/1000000</f>
        <v>0.38995120000000005</v>
      </c>
      <c r="D13" s="8">
        <f>D9*Inference!$F$6/1000000+D12*Inference!$G$6/1000000</f>
        <v>0.46720480000000003</v>
      </c>
      <c r="E13" s="6" t="s">
        <v>105</v>
      </c>
    </row>
    <row r="14" spans="1:5" ht="26.4" x14ac:dyDescent="0.3">
      <c r="A14" s="3" t="s">
        <v>106</v>
      </c>
      <c r="B14" s="8">
        <f>B13*Inference!$B$21</f>
        <v>3.7556891999999999</v>
      </c>
      <c r="C14" s="8">
        <f>C13*Inference!$B$21</f>
        <v>5.2643412000000005</v>
      </c>
      <c r="D14" s="8">
        <f>D13*Inference!$B$21</f>
        <v>6.3072648000000004</v>
      </c>
      <c r="E14" s="6" t="s">
        <v>107</v>
      </c>
    </row>
    <row r="16" spans="1:5" x14ac:dyDescent="0.3">
      <c r="A16" s="2" t="s">
        <v>108</v>
      </c>
      <c r="B16" s="2" t="s">
        <v>109</v>
      </c>
      <c r="C16" s="2" t="s">
        <v>110</v>
      </c>
    </row>
    <row r="17" spans="1:5" ht="30" customHeight="1" x14ac:dyDescent="0.3">
      <c r="A17" s="3" t="str">
        <f>"Ceiling = about "&amp;TEXT(B17/D13,"0.0")&amp;"x the high scenario per review and "&amp;TEXT(C17/D14,"0.0")&amp;"x per month at the most capable model, rounded, so a model change or a longer contract never trips it"</f>
        <v>Ceiling = about 2.1x the high scenario per review and 7.9x per month at the most capable model, rounded, so a model change or a longer contract never trips it</v>
      </c>
      <c r="B17" s="5">
        <v>1</v>
      </c>
      <c r="C17" s="5">
        <v>50</v>
      </c>
      <c r="D17" s="18" t="s">
        <v>111</v>
      </c>
      <c r="E17" s="18"/>
    </row>
  </sheetData>
  <mergeCells count="2">
    <mergeCell ref="A2:E2"/>
    <mergeCell ref="D17:E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workbookViewId="0"/>
  </sheetViews>
  <sheetFormatPr defaultRowHeight="14.4" x14ac:dyDescent="0.3"/>
  <cols>
    <col min="1" max="1" width="44.6640625" customWidth="1"/>
    <col min="2" max="2" width="16.6640625" customWidth="1"/>
    <col min="3" max="3" width="60.6640625" customWidth="1"/>
  </cols>
  <sheetData>
    <row r="1" spans="1:3" ht="17.399999999999999" x14ac:dyDescent="0.3">
      <c r="A1" s="1" t="s">
        <v>112</v>
      </c>
    </row>
    <row r="2" spans="1:3" ht="42" customHeight="1" x14ac:dyDescent="0.3">
      <c r="A2" s="17" t="s">
        <v>113</v>
      </c>
      <c r="B2" s="17"/>
      <c r="C2" s="17"/>
    </row>
    <row r="4" spans="1:3" x14ac:dyDescent="0.3">
      <c r="A4" s="2" t="s">
        <v>114</v>
      </c>
      <c r="B4" s="2" t="s">
        <v>115</v>
      </c>
      <c r="C4" s="2" t="s">
        <v>116</v>
      </c>
    </row>
    <row r="5" spans="1:3" x14ac:dyDescent="0.3">
      <c r="A5" s="3" t="s">
        <v>26</v>
      </c>
      <c r="B5" s="12">
        <f>Inference!B6</f>
        <v>1.3</v>
      </c>
      <c r="C5" s="6" t="s">
        <v>102</v>
      </c>
    </row>
    <row r="6" spans="1:3" x14ac:dyDescent="0.3">
      <c r="A6" s="3" t="s">
        <v>117</v>
      </c>
      <c r="B6" s="9">
        <v>1092</v>
      </c>
      <c r="C6" s="6" t="s">
        <v>118</v>
      </c>
    </row>
    <row r="7" spans="1:3" x14ac:dyDescent="0.3">
      <c r="A7" s="3" t="s">
        <v>119</v>
      </c>
      <c r="B7" s="12">
        <f>Inference!F13</f>
        <v>23180</v>
      </c>
      <c r="C7" s="6" t="s">
        <v>120</v>
      </c>
    </row>
    <row r="8" spans="1:3" x14ac:dyDescent="0.3">
      <c r="A8" s="3" t="s">
        <v>121</v>
      </c>
      <c r="B8" s="10">
        <f>(B6+B7)*B5</f>
        <v>31553.600000000002</v>
      </c>
      <c r="C8" s="6" t="s">
        <v>31</v>
      </c>
    </row>
    <row r="9" spans="1:3" ht="34.200000000000003" x14ac:dyDescent="0.3">
      <c r="A9" s="3" t="s">
        <v>122</v>
      </c>
      <c r="B9" s="5">
        <v>0.13</v>
      </c>
      <c r="C9" s="6" t="s">
        <v>123</v>
      </c>
    </row>
    <row r="10" spans="1:3" x14ac:dyDescent="0.3">
      <c r="A10" s="3" t="s">
        <v>124</v>
      </c>
      <c r="B10" s="8">
        <f>B8*B9/1000000</f>
        <v>4.101968000000001E-3</v>
      </c>
      <c r="C10" s="6"/>
    </row>
    <row r="11" spans="1:3" x14ac:dyDescent="0.3">
      <c r="A11" s="3" t="s">
        <v>125</v>
      </c>
      <c r="B11" s="9">
        <v>40</v>
      </c>
      <c r="C11" s="6" t="s">
        <v>126</v>
      </c>
    </row>
    <row r="12" spans="1:3" x14ac:dyDescent="0.3">
      <c r="A12" s="3" t="s">
        <v>127</v>
      </c>
      <c r="B12" s="9">
        <v>70</v>
      </c>
      <c r="C12" s="6" t="s">
        <v>128</v>
      </c>
    </row>
    <row r="13" spans="1:3" x14ac:dyDescent="0.3">
      <c r="A13" s="3" t="s">
        <v>129</v>
      </c>
      <c r="B13" s="12">
        <f>Inference!B21</f>
        <v>13.5</v>
      </c>
      <c r="C13" s="6" t="s">
        <v>102</v>
      </c>
    </row>
    <row r="14" spans="1:3" x14ac:dyDescent="0.3">
      <c r="A14" s="3" t="s">
        <v>130</v>
      </c>
      <c r="B14" s="10">
        <f>B11*B12*B13</f>
        <v>37800</v>
      </c>
      <c r="C14" s="6" t="s">
        <v>131</v>
      </c>
    </row>
    <row r="15" spans="1:3" x14ac:dyDescent="0.3">
      <c r="A15" s="3" t="s">
        <v>132</v>
      </c>
      <c r="B15" s="8">
        <f>B14*B9/1000000</f>
        <v>4.914E-3</v>
      </c>
      <c r="C15" s="6"/>
    </row>
    <row r="16" spans="1:3" x14ac:dyDescent="0.3">
      <c r="A16" s="3" t="s">
        <v>133</v>
      </c>
      <c r="B16" s="8">
        <f>B10+B15</f>
        <v>9.0159680000000009E-3</v>
      </c>
      <c r="C16" s="6" t="s">
        <v>134</v>
      </c>
    </row>
  </sheetData>
  <mergeCells count="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4"/>
  <sheetViews>
    <sheetView workbookViewId="0"/>
  </sheetViews>
  <sheetFormatPr defaultRowHeight="14.4" x14ac:dyDescent="0.3"/>
  <cols>
    <col min="1" max="1" width="48.6640625" customWidth="1"/>
    <col min="2" max="2" width="18.6640625" customWidth="1"/>
    <col min="3" max="3" width="60.6640625" customWidth="1"/>
  </cols>
  <sheetData>
    <row r="1" spans="1:3" ht="17.399999999999999" x14ac:dyDescent="0.3">
      <c r="A1" s="1" t="s">
        <v>135</v>
      </c>
    </row>
    <row r="2" spans="1:3" ht="42" customHeight="1" x14ac:dyDescent="0.3">
      <c r="A2" s="17" t="s">
        <v>136</v>
      </c>
      <c r="B2" s="17"/>
      <c r="C2" s="17"/>
    </row>
    <row r="4" spans="1:3" x14ac:dyDescent="0.3">
      <c r="A4" s="4" t="s">
        <v>137</v>
      </c>
      <c r="B4" s="4"/>
      <c r="C4" s="4"/>
    </row>
    <row r="5" spans="1:3" x14ac:dyDescent="0.3">
      <c r="A5" s="2" t="s">
        <v>114</v>
      </c>
      <c r="B5" s="2" t="s">
        <v>115</v>
      </c>
      <c r="C5" s="2" t="s">
        <v>116</v>
      </c>
    </row>
    <row r="6" spans="1:3" x14ac:dyDescent="0.3">
      <c r="A6" s="3" t="s">
        <v>138</v>
      </c>
      <c r="B6" s="5">
        <v>3.5</v>
      </c>
      <c r="C6" s="6" t="s">
        <v>139</v>
      </c>
    </row>
    <row r="7" spans="1:3" ht="22.8" x14ac:dyDescent="0.3">
      <c r="A7" s="3" t="s">
        <v>140</v>
      </c>
      <c r="B7" s="5">
        <v>4.5</v>
      </c>
      <c r="C7" s="6" t="s">
        <v>141</v>
      </c>
    </row>
    <row r="8" spans="1:3" ht="22.8" x14ac:dyDescent="0.3">
      <c r="A8" s="3" t="s">
        <v>142</v>
      </c>
      <c r="B8" s="5">
        <v>3</v>
      </c>
      <c r="C8" s="6" t="s">
        <v>143</v>
      </c>
    </row>
    <row r="9" spans="1:3" ht="22.8" x14ac:dyDescent="0.3">
      <c r="A9" s="3" t="s">
        <v>144</v>
      </c>
      <c r="B9" s="5">
        <v>0.5</v>
      </c>
      <c r="C9" s="6" t="s">
        <v>145</v>
      </c>
    </row>
    <row r="10" spans="1:3" x14ac:dyDescent="0.3">
      <c r="A10" s="3" t="s">
        <v>146</v>
      </c>
      <c r="B10" s="10">
        <f>B6*B8+B7*B9</f>
        <v>12.75</v>
      </c>
      <c r="C10" s="6"/>
    </row>
    <row r="11" spans="1:3" ht="22.8" x14ac:dyDescent="0.3">
      <c r="A11" s="3" t="s">
        <v>147</v>
      </c>
      <c r="B11" s="9">
        <v>5000</v>
      </c>
      <c r="C11" s="6" t="s">
        <v>148</v>
      </c>
    </row>
    <row r="12" spans="1:3" x14ac:dyDescent="0.3">
      <c r="A12" s="3" t="s">
        <v>149</v>
      </c>
      <c r="B12" s="13">
        <f>B10*B11</f>
        <v>63750</v>
      </c>
      <c r="C12" s="6"/>
    </row>
    <row r="13" spans="1:3" ht="22.8" x14ac:dyDescent="0.3">
      <c r="A13" s="3" t="s">
        <v>150</v>
      </c>
      <c r="B13" s="9">
        <v>120000</v>
      </c>
      <c r="C13" s="6" t="s">
        <v>151</v>
      </c>
    </row>
    <row r="14" spans="1:3" ht="34.200000000000003" x14ac:dyDescent="0.3">
      <c r="A14" s="3" t="s">
        <v>152</v>
      </c>
      <c r="B14" s="9">
        <v>4</v>
      </c>
      <c r="C14" s="6" t="s">
        <v>153</v>
      </c>
    </row>
    <row r="15" spans="1:3" x14ac:dyDescent="0.3">
      <c r="A15" s="3" t="s">
        <v>154</v>
      </c>
      <c r="B15" s="13">
        <f>B13*B14/12</f>
        <v>40000</v>
      </c>
      <c r="C15" s="6" t="s">
        <v>155</v>
      </c>
    </row>
    <row r="17" spans="1:3" x14ac:dyDescent="0.3">
      <c r="A17" s="4" t="s">
        <v>156</v>
      </c>
      <c r="B17" s="4"/>
      <c r="C17" s="4"/>
    </row>
    <row r="18" spans="1:3" x14ac:dyDescent="0.3">
      <c r="A18" s="2" t="s">
        <v>114</v>
      </c>
      <c r="B18" s="2" t="s">
        <v>115</v>
      </c>
      <c r="C18" s="2" t="s">
        <v>116</v>
      </c>
    </row>
    <row r="20" spans="1:3" x14ac:dyDescent="0.3">
      <c r="A20" s="3" t="s">
        <v>157</v>
      </c>
      <c r="B20" s="5">
        <v>0.5</v>
      </c>
      <c r="C20" s="6" t="s">
        <v>158</v>
      </c>
    </row>
    <row r="21" spans="1:3" x14ac:dyDescent="0.3">
      <c r="A21" s="3" t="s">
        <v>159</v>
      </c>
      <c r="B21" s="5">
        <v>0.15</v>
      </c>
      <c r="C21" s="6" t="s">
        <v>160</v>
      </c>
    </row>
    <row r="22" spans="1:3" x14ac:dyDescent="0.3">
      <c r="A22" s="3" t="s">
        <v>161</v>
      </c>
      <c r="B22" s="10">
        <f>B6*B20+B7*B21</f>
        <v>2.4249999999999998</v>
      </c>
      <c r="C22" s="6"/>
    </row>
    <row r="23" spans="1:3" x14ac:dyDescent="0.3">
      <c r="A23" s="3" t="s">
        <v>162</v>
      </c>
      <c r="B23" s="11">
        <f>B10-B22</f>
        <v>10.324999999999999</v>
      </c>
      <c r="C23" s="6" t="s">
        <v>163</v>
      </c>
    </row>
    <row r="24" spans="1:3" x14ac:dyDescent="0.3">
      <c r="A24" s="3" t="s">
        <v>164</v>
      </c>
      <c r="B24" s="13">
        <f>B23*B11</f>
        <v>51625</v>
      </c>
      <c r="C24" s="6"/>
    </row>
    <row r="25" spans="1:3" x14ac:dyDescent="0.3">
      <c r="A25" s="3" t="s">
        <v>165</v>
      </c>
      <c r="B25" s="9">
        <v>85</v>
      </c>
      <c r="C25" s="6" t="s">
        <v>166</v>
      </c>
    </row>
    <row r="26" spans="1:3" ht="26.4" x14ac:dyDescent="0.3">
      <c r="A26" s="3" t="s">
        <v>167</v>
      </c>
      <c r="B26" s="14">
        <f>Inference!K6+Inference!F17</f>
        <v>5.3556477882352942</v>
      </c>
      <c r="C26" s="6" t="s">
        <v>168</v>
      </c>
    </row>
    <row r="27" spans="1:3" x14ac:dyDescent="0.3">
      <c r="A27" s="3" t="s">
        <v>169</v>
      </c>
      <c r="B27" s="14">
        <f>Embeddings!B15</f>
        <v>4.914E-3</v>
      </c>
      <c r="C27" s="6" t="s">
        <v>170</v>
      </c>
    </row>
    <row r="28" spans="1:3" x14ac:dyDescent="0.3">
      <c r="A28" s="3" t="s">
        <v>171</v>
      </c>
      <c r="B28" s="13">
        <f>(B26+B27)*B25</f>
        <v>455.64775200000003</v>
      </c>
      <c r="C28" s="6"/>
    </row>
    <row r="29" spans="1:3" ht="22.8" x14ac:dyDescent="0.3">
      <c r="A29" s="3" t="s">
        <v>172</v>
      </c>
      <c r="B29" s="15">
        <f>B24-B28</f>
        <v>51169.352248000003</v>
      </c>
      <c r="C29" s="6" t="s">
        <v>173</v>
      </c>
    </row>
    <row r="30" spans="1:3" x14ac:dyDescent="0.3">
      <c r="A30" s="3" t="s">
        <v>174</v>
      </c>
      <c r="B30" s="16">
        <f>B29/B12</f>
        <v>0.80265650585098047</v>
      </c>
      <c r="C30" s="6"/>
    </row>
    <row r="31" spans="1:3" x14ac:dyDescent="0.3">
      <c r="A31" s="3" t="s">
        <v>175</v>
      </c>
      <c r="B31" s="13">
        <f>B29+B15</f>
        <v>91169.35224800001</v>
      </c>
      <c r="C31" s="6" t="s">
        <v>176</v>
      </c>
    </row>
    <row r="32" spans="1:3" x14ac:dyDescent="0.3">
      <c r="A32" s="3" t="s">
        <v>177</v>
      </c>
      <c r="B32" s="14">
        <f>Inference!F15</f>
        <v>0.92293600000000009</v>
      </c>
      <c r="C32" s="6" t="s">
        <v>178</v>
      </c>
    </row>
    <row r="34" spans="1:3" ht="55.05" customHeight="1" x14ac:dyDescent="0.3">
      <c r="A34" s="18" t="s">
        <v>179</v>
      </c>
      <c r="B34" s="18"/>
      <c r="C34" s="18"/>
    </row>
  </sheetData>
  <mergeCells count="2">
    <mergeCell ref="A2:C2"/>
    <mergeCell ref="A34:C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Inference</vt:lpstr>
      <vt:lpstr>Scenarios</vt:lpstr>
      <vt:lpstr>Embeddings</vt:lpstr>
      <vt:lpstr>Cost Savings</vt:lpstr>
    </vt:vector>
  </TitlesOfParts>
  <Company/>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Rahul</cp:lastModifiedBy>
  <dcterms:created xsi:type="dcterms:W3CDTF">2026-10-11T15:41:09Z</dcterms:created>
  <dcterms:modified xsi:type="dcterms:W3CDTF">2026-10-11T15:41:47Z</dcterms:modified>
</cp:coreProperties>
</file>